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back XT Build 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<sst xmlns="http://schemas.openxmlformats.org/spreadsheetml/2006/main" count="107" uniqueCount="67">
  <si>
    <t xml:space="preserve">Category</t>
  </si>
  <si>
    <t xml:space="preserve">Part Description</t>
  </si>
  <si>
    <t xml:space="preserve">Brand</t>
  </si>
  <si>
    <t xml:space="preserve">Part Number</t>
  </si>
  <si>
    <t xml:space="preserve">Purchase Link</t>
  </si>
  <si>
    <t xml:space="preserve">Qty</t>
  </si>
  <si>
    <t xml:space="preserve">Unit Price</t>
  </si>
  <si>
    <t xml:space="preserve">Total Price</t>
  </si>
  <si>
    <t xml:space="preserve">Priority / Install Phase</t>
  </si>
  <si>
    <t xml:space="preserve">Completed</t>
  </si>
  <si>
    <t xml:space="preserve">Brakes</t>
  </si>
  <si>
    <t xml:space="preserve">Stage 12 Smooth Rotors &amp; Red Ceramic Brake Kit (Front)</t>
  </si>
  <si>
    <t xml:space="preserve">EBC Brakes</t>
  </si>
  <si>
    <t xml:space="preserve">S12KF1974</t>
  </si>
  <si>
    <t xml:space="preserve">Phase 1: Brakes</t>
  </si>
  <si>
    <t xml:space="preserve">✓ Done</t>
  </si>
  <si>
    <t xml:space="preserve">Stage 12 Smooth Rotors &amp; Red Ceramic Brake Kit (Rear)</t>
  </si>
  <si>
    <t xml:space="preserve">S12KR1555</t>
  </si>
  <si>
    <t xml:space="preserve">Maintenance</t>
  </si>
  <si>
    <t xml:space="preserve">Premium Full Synthetic 5W-30 Oil (5-Quart Jug)</t>
  </si>
  <si>
    <t xml:space="preserve">Motul / Pennzoil</t>
  </si>
  <si>
    <t xml:space="preserve">8100 X-Clean / Ultra Plat</t>
  </si>
  <si>
    <t xml:space="preserve">Phase 1: Maintenance (High Temp Fix)</t>
  </si>
  <si>
    <t xml:space="preserve">—</t>
  </si>
  <si>
    <t xml:space="preserve">OEM Subaru Oil Filter</t>
  </si>
  <si>
    <t xml:space="preserve">Subaru</t>
  </si>
  <si>
    <t xml:space="preserve">15208AA170</t>
  </si>
  <si>
    <t xml:space="preserve">Suspension</t>
  </si>
  <si>
    <t xml:space="preserve">Rear Lower Forward Control Arms – adjustable camber, confirmed 2020 OBXT fit (Steel Hubs Only – verify before ordering)</t>
  </si>
  <si>
    <t xml:space="preserve">Whiteline</t>
  </si>
  <si>
    <t xml:space="preserve">KTA358</t>
  </si>
  <si>
    <t xml:space="preserve">Phase 2: Geometry (Mandatory)</t>
  </si>
  <si>
    <t xml:space="preserve">HD Adjustable Toe Arms – SGP-specific, rod ends, forged, w/ grease fittings</t>
  </si>
  <si>
    <t xml:space="preserve">RalliTEK</t>
  </si>
  <si>
    <t xml:space="preserve">100325</t>
  </si>
  <si>
    <t xml:space="preserve">Front Adjustable Sway Bar End Links  ⚠ verify SGP fitment (pre-2020 part)</t>
  </si>
  <si>
    <t xml:space="preserve">KLC175</t>
  </si>
  <si>
    <t xml:space="preserve">Rear Adjustable Sway Bar End Links  ⚠ verify SGP fitment (pre-2020 part)</t>
  </si>
  <si>
    <t xml:space="preserve">KLC200</t>
  </si>
  <si>
    <t xml:space="preserve">Front Roll Center / Bump Steer Kit  ⚠ verify SGP fitment (pre-2020 part)</t>
  </si>
  <si>
    <t xml:space="preserve">KCA313</t>
  </si>
  <si>
    <t xml:space="preserve">20mm Adjustable Rear Sway Bar  ⚠ verify SGP fitment (pre-2020 part)</t>
  </si>
  <si>
    <t xml:space="preserve">BSR55Z</t>
  </si>
  <si>
    <t xml:space="preserve">Phase 2: Sport Upgrades</t>
  </si>
  <si>
    <t xml:space="preserve">Rear Subframe Positive Traction Kit (Inserts)  ⚠ verify SGP fitment (pre-2020 part)</t>
  </si>
  <si>
    <t xml:space="preserve">KDT938</t>
  </si>
  <si>
    <t xml:space="preserve">Performance</t>
  </si>
  <si>
    <t xml:space="preserve">COBB Aluminum Intake Tube – replaces corrugated OEM tube, 3" mandrel-bent</t>
  </si>
  <si>
    <t xml:space="preserve">COBB Tuning</t>
  </si>
  <si>
    <t xml:space="preserve">745110</t>
  </si>
  <si>
    <t xml:space="preserve">Phase 3: Performance</t>
  </si>
  <si>
    <t xml:space="preserve">COBB Aluminum Charge Pipe – 6061 Al, 2.5"→2.75" with billet turbo adapter</t>
  </si>
  <si>
    <t xml:space="preserve">746110</t>
  </si>
  <si>
    <t xml:space="preserve">CVT + Front &amp; Rear Diff Fluid Service (DIY parts) – ~5 qt CVTF-II + 3 qt 75W-90 gear oil</t>
  </si>
  <si>
    <t xml:space="preserve">Subaru OEM</t>
  </si>
  <si>
    <t xml:space="preserve">SOA427V1700 / SOA868V9241</t>
  </si>
  <si>
    <t xml:space="preserve">Phase 1: Maintenance</t>
  </si>
  <si>
    <t xml:space="preserve">Body / Seals</t>
  </si>
  <si>
    <t xml:space="preserve">Door &amp; Window Weatherstrip Seals – OEM Subaru (price varies; confirm parts by VIN)</t>
  </si>
  <si>
    <t xml:space="preserve">Various</t>
  </si>
  <si>
    <t xml:space="preserve">Phase 2: Body Refresh</t>
  </si>
  <si>
    <t xml:space="preserve">Wheels</t>
  </si>
  <si>
    <t xml:space="preserve">Enkei TS-10 18x8 Storm Gray (closest to silver – no pure silver finish offered) 5x114.3 +45mm – set of 4</t>
  </si>
  <si>
    <t xml:space="preserve">Enkei</t>
  </si>
  <si>
    <t xml:space="preserve">499-880-6545GR</t>
  </si>
  <si>
    <t xml:space="preserve">Phase 2: Wheels</t>
  </si>
  <si>
    <t xml:space="preserve">GRAND 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</si>
</sst>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1"/>
      <color rgb="FF27AE60"/>
      <name val="Cambria"/>
      <family val="0"/>
      <charset val="1"/>
    </font>
    <font>
      <sz val="11"/>
      <color rgb="FF888888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85640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A527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F9F9F9"/>
        <bgColor rgb="FFFFFFFF"/>
      </patternFill>
    </fill>
    <fill>
      <patternFill patternType="solid">
        <fgColor rgb="FFEAFAF1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3CD"/>
        <bgColor rgb="FFF9F9F9"/>
      </patternFill>
    </fill>
    <fill>
      <patternFill patternType="solid">
        <fgColor rgb="FFD5E8D4"/>
        <bgColor rgb="FFD3D3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0C0C0"/>
      <rgbColor rgb="FF888888"/>
      <rgbColor rgb="FF9999FF"/>
      <rgbColor rgb="FF993366"/>
      <rgbColor rgb="FFFFF3CD"/>
      <rgbColor rgb="FFEAFAF1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5"/>
    <col collapsed="false" customWidth="true" hidden="false" outlineLevel="0" max="3" min="3" style="1" width="20"/>
    <col collapsed="false" customWidth="true" hidden="false" outlineLevel="0" max="5" min="4" style="1" width="15"/>
    <col collapsed="false" customWidth="true" hidden="false" outlineLevel="0" max="6" min="6" style="1" width="8"/>
    <col collapsed="false" customWidth="true" hidden="false" outlineLevel="0" max="8" min="7" style="1" width="15"/>
    <col collapsed="false" customWidth="true" hidden="false" outlineLevel="0" max="9" min="9" style="1" width="35"/>
    <col collapsed="false" customWidth="true" hidden="false" outlineLevel="0" max="26" min="10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" hidden="false" customHeight="true" outlineLevel="0" collapsed="false">
      <c r="A2" s="4" t="s">
        <v>10</v>
      </c>
      <c r="B2" s="5" t="s">
        <v>11</v>
      </c>
      <c r="C2" s="4" t="s">
        <v>12</v>
      </c>
      <c r="D2" s="4" t="s">
        <v>13</v>
      </c>
      <c r="E2" s="6" t="str">
        <f aca="false">HYPERLINK("https://www.amazon.com/s?k=EBC+S12KF1974", "View Part")</f>
        <v>View Part</v>
      </c>
      <c r="F2" s="4" t="n">
        <v>1</v>
      </c>
      <c r="G2" s="7" t="n">
        <v>0</v>
      </c>
      <c r="H2" s="7" t="n">
        <f aca="false">F2*G2</f>
        <v>0</v>
      </c>
      <c r="I2" s="4" t="s">
        <v>14</v>
      </c>
      <c r="J2" s="8" t="s">
        <v>15</v>
      </c>
    </row>
    <row r="3" customFormat="false" ht="15" hidden="false" customHeight="true" outlineLevel="0" collapsed="false">
      <c r="A3" s="9" t="s">
        <v>10</v>
      </c>
      <c r="B3" s="10" t="s">
        <v>16</v>
      </c>
      <c r="C3" s="9" t="s">
        <v>12</v>
      </c>
      <c r="D3" s="9" t="s">
        <v>17</v>
      </c>
      <c r="E3" s="11" t="str">
        <f aca="false">HYPERLINK("https://www.amazon.com/s?k=EBC+S12KR1555", "View Part")</f>
        <v>View Part</v>
      </c>
      <c r="F3" s="9" t="n">
        <v>1</v>
      </c>
      <c r="G3" s="12" t="n">
        <v>0</v>
      </c>
      <c r="H3" s="12" t="n">
        <f aca="false">F3*G3</f>
        <v>0</v>
      </c>
      <c r="I3" s="9" t="s">
        <v>14</v>
      </c>
      <c r="J3" s="8" t="s">
        <v>15</v>
      </c>
    </row>
    <row r="4" customFormat="false" ht="15" hidden="false" customHeight="true" outlineLevel="0" collapsed="false">
      <c r="A4" s="4" t="s">
        <v>18</v>
      </c>
      <c r="B4" s="5" t="s">
        <v>19</v>
      </c>
      <c r="C4" s="4" t="s">
        <v>20</v>
      </c>
      <c r="D4" s="4" t="s">
        <v>21</v>
      </c>
      <c r="E4" s="6" t="str">
        <f aca="false">HYPERLINK("https://www.amazon.com/s?k=Motul+8100+X-Clean+5W-30+5-Quart", "View Part")</f>
        <v>View Part</v>
      </c>
      <c r="F4" s="4" t="n">
        <v>1</v>
      </c>
      <c r="G4" s="7" t="n">
        <v>45</v>
      </c>
      <c r="H4" s="7" t="n">
        <f aca="false">F4*G4</f>
        <v>45</v>
      </c>
      <c r="I4" s="4" t="s">
        <v>22</v>
      </c>
      <c r="J4" s="13" t="s">
        <v>23</v>
      </c>
    </row>
    <row r="5" customFormat="false" ht="15" hidden="false" customHeight="true" outlineLevel="0" collapsed="false">
      <c r="A5" s="9" t="s">
        <v>18</v>
      </c>
      <c r="B5" s="10" t="s">
        <v>24</v>
      </c>
      <c r="C5" s="9" t="s">
        <v>25</v>
      </c>
      <c r="D5" s="9" t="s">
        <v>26</v>
      </c>
      <c r="E5" s="11" t="str">
        <f aca="false">HYPERLINK("https://www.amazon.com/s?k=Subaru+15208AA170+oil+filter", "View Part")</f>
        <v>View Part</v>
      </c>
      <c r="F5" s="9" t="n">
        <v>1</v>
      </c>
      <c r="G5" s="12" t="n">
        <v>12</v>
      </c>
      <c r="H5" s="12" t="n">
        <f aca="false">F5*G5</f>
        <v>12</v>
      </c>
      <c r="I5" s="9" t="s">
        <v>22</v>
      </c>
      <c r="J5" s="14" t="s">
        <v>23</v>
      </c>
    </row>
    <row r="6" customFormat="false" ht="15" hidden="false" customHeight="true" outlineLevel="0" collapsed="false">
      <c r="A6" s="15" t="s">
        <v>27</v>
      </c>
      <c r="B6" s="15" t="s">
        <v>28</v>
      </c>
      <c r="C6" s="15" t="s">
        <v>29</v>
      </c>
      <c r="D6" s="15" t="s">
        <v>30</v>
      </c>
      <c r="E6" s="6" t="str">
        <f aca="false">HYPERLINK("https://www.whiteline.com.au/product/KTA358/rear-control-arm-lower-front-arm-assembly","View Part")</f>
        <v>View Part</v>
      </c>
      <c r="F6" s="16" t="n">
        <v>1</v>
      </c>
      <c r="G6" s="17" t="n">
        <v>379.1</v>
      </c>
      <c r="H6" s="17" t="n">
        <f aca="false">F6*G6</f>
        <v>379.1</v>
      </c>
      <c r="I6" s="15" t="s">
        <v>31</v>
      </c>
      <c r="J6" s="18" t="s">
        <v>23</v>
      </c>
    </row>
    <row r="7" customFormat="false" ht="15" hidden="false" customHeight="true" outlineLevel="0" collapsed="false">
      <c r="A7" s="19" t="s">
        <v>27</v>
      </c>
      <c r="B7" s="19" t="s">
        <v>32</v>
      </c>
      <c r="C7" s="19" t="s">
        <v>33</v>
      </c>
      <c r="D7" s="19" t="s">
        <v>34</v>
      </c>
      <c r="E7" s="11" t="str">
        <f aca="false">HYPERLINK("https://rallitek.com/products/heavy-duty-adjustable-toe-arm-fits-2020-2026-subaru-outback","View Part")</f>
        <v>View Part</v>
      </c>
      <c r="F7" s="20" t="n">
        <v>1</v>
      </c>
      <c r="G7" s="21" t="n">
        <v>270</v>
      </c>
      <c r="H7" s="21" t="n">
        <f aca="false">F7*G7</f>
        <v>270</v>
      </c>
      <c r="I7" s="19" t="s">
        <v>31</v>
      </c>
      <c r="J7" s="22" t="s">
        <v>23</v>
      </c>
    </row>
    <row r="8" customFormat="false" ht="15" hidden="false" customHeight="true" outlineLevel="0" collapsed="false">
      <c r="A8" s="23" t="s">
        <v>27</v>
      </c>
      <c r="B8" s="24" t="s">
        <v>35</v>
      </c>
      <c r="C8" s="23" t="s">
        <v>29</v>
      </c>
      <c r="D8" s="23" t="s">
        <v>36</v>
      </c>
      <c r="E8" s="6" t="str">
        <f aca="false">HYPERLINK("https://www.amazon.com/s?k=Whiteline+KLC175", "View Part")</f>
        <v>View Part</v>
      </c>
      <c r="F8" s="23" t="n">
        <v>1</v>
      </c>
      <c r="G8" s="25" t="n">
        <v>180</v>
      </c>
      <c r="H8" s="25" t="n">
        <f aca="false">F8*G8</f>
        <v>180</v>
      </c>
      <c r="I8" s="23" t="s">
        <v>31</v>
      </c>
      <c r="J8" s="26" t="s">
        <v>23</v>
      </c>
    </row>
    <row r="9" customFormat="false" ht="15" hidden="false" customHeight="true" outlineLevel="0" collapsed="false">
      <c r="A9" s="23" t="s">
        <v>27</v>
      </c>
      <c r="B9" s="24" t="s">
        <v>37</v>
      </c>
      <c r="C9" s="23" t="s">
        <v>29</v>
      </c>
      <c r="D9" s="23" t="s">
        <v>38</v>
      </c>
      <c r="E9" s="11" t="str">
        <f aca="false">HYPERLINK("https://www.amazon.com/s?k=Whiteline+KLC200", "View Part")</f>
        <v>View Part</v>
      </c>
      <c r="F9" s="23" t="n">
        <v>1</v>
      </c>
      <c r="G9" s="25" t="n">
        <v>180</v>
      </c>
      <c r="H9" s="25" t="n">
        <f aca="false">F9*G9</f>
        <v>180</v>
      </c>
      <c r="I9" s="23" t="s">
        <v>31</v>
      </c>
      <c r="J9" s="26" t="s">
        <v>23</v>
      </c>
    </row>
    <row r="10" customFormat="false" ht="15" hidden="false" customHeight="true" outlineLevel="0" collapsed="false">
      <c r="A10" s="23" t="s">
        <v>27</v>
      </c>
      <c r="B10" s="24" t="s">
        <v>39</v>
      </c>
      <c r="C10" s="23" t="s">
        <v>29</v>
      </c>
      <c r="D10" s="23" t="s">
        <v>40</v>
      </c>
      <c r="E10" s="6" t="str">
        <f aca="false">HYPERLINK("https://www.amazon.com/s?k=Whiteline+KCA313", "View Part")</f>
        <v>View Part</v>
      </c>
      <c r="F10" s="23" t="n">
        <v>1</v>
      </c>
      <c r="G10" s="25" t="n">
        <v>135</v>
      </c>
      <c r="H10" s="25" t="n">
        <f aca="false">F10*G10</f>
        <v>135</v>
      </c>
      <c r="I10" s="23" t="s">
        <v>31</v>
      </c>
      <c r="J10" s="26" t="s">
        <v>23</v>
      </c>
    </row>
    <row r="11" customFormat="false" ht="15" hidden="false" customHeight="true" outlineLevel="0" collapsed="false">
      <c r="A11" s="23" t="s">
        <v>27</v>
      </c>
      <c r="B11" s="24" t="s">
        <v>41</v>
      </c>
      <c r="C11" s="23" t="s">
        <v>29</v>
      </c>
      <c r="D11" s="23" t="s">
        <v>42</v>
      </c>
      <c r="E11" s="11" t="str">
        <f aca="false">HYPERLINK("https://www.amazon.com/s?k=Whiteline+BSR55Z", "View Part")</f>
        <v>View Part</v>
      </c>
      <c r="F11" s="23" t="n">
        <v>1</v>
      </c>
      <c r="G11" s="25" t="n">
        <v>280</v>
      </c>
      <c r="H11" s="25" t="n">
        <f aca="false">F11*G11</f>
        <v>280</v>
      </c>
      <c r="I11" s="23" t="s">
        <v>43</v>
      </c>
      <c r="J11" s="26" t="s">
        <v>23</v>
      </c>
    </row>
    <row r="12" customFormat="false" ht="15" hidden="false" customHeight="true" outlineLevel="0" collapsed="false">
      <c r="A12" s="23" t="s">
        <v>27</v>
      </c>
      <c r="B12" s="24" t="s">
        <v>44</v>
      </c>
      <c r="C12" s="23" t="s">
        <v>29</v>
      </c>
      <c r="D12" s="23" t="s">
        <v>45</v>
      </c>
      <c r="E12" s="6" t="str">
        <f aca="false">HYPERLINK("https://www.amazon.com/s?k=Whiteline+KDT938", "View Part")</f>
        <v>View Part</v>
      </c>
      <c r="F12" s="23" t="n">
        <v>1</v>
      </c>
      <c r="G12" s="25" t="n">
        <v>60</v>
      </c>
      <c r="H12" s="25" t="n">
        <f aca="false">F12*G12</f>
        <v>60</v>
      </c>
      <c r="I12" s="23" t="s">
        <v>43</v>
      </c>
      <c r="J12" s="26" t="s">
        <v>23</v>
      </c>
    </row>
    <row r="14" customFormat="false" ht="27.75" hidden="false" customHeight="true" outlineLevel="0" collapsed="false">
      <c r="A14" s="15" t="s">
        <v>46</v>
      </c>
      <c r="B14" s="15" t="s">
        <v>47</v>
      </c>
      <c r="C14" s="15" t="s">
        <v>48</v>
      </c>
      <c r="D14" s="15" t="s">
        <v>49</v>
      </c>
      <c r="E14" s="6" t="str">
        <f aca="false">HYPERLINK("https://subimods.com/products/cobb-aluminum-intake-tube-2020-2024-outback-xt-2020-2024-outback-wilderness", "View Part")</f>
        <v>View Part</v>
      </c>
      <c r="F14" s="16" t="n">
        <v>1</v>
      </c>
      <c r="G14" s="27" t="n">
        <v>170</v>
      </c>
      <c r="H14" s="28" t="n">
        <f aca="false">F14*G14</f>
        <v>170</v>
      </c>
      <c r="I14" s="15" t="s">
        <v>50</v>
      </c>
      <c r="J14" s="13" t="s">
        <v>23</v>
      </c>
    </row>
    <row r="15" customFormat="false" ht="27.75" hidden="false" customHeight="true" outlineLevel="0" collapsed="false">
      <c r="A15" s="19" t="s">
        <v>46</v>
      </c>
      <c r="B15" s="19" t="s">
        <v>51</v>
      </c>
      <c r="C15" s="19" t="s">
        <v>48</v>
      </c>
      <c r="D15" s="19" t="s">
        <v>52</v>
      </c>
      <c r="E15" s="11" t="str">
        <f aca="false">HYPERLINK("https://subimods.com/products/cobb-aluminum-charge-pipe-black-2022-2023-wrx-2019-2023-ascent-2020-2023-outback-xt", "View Part")</f>
        <v>View Part</v>
      </c>
      <c r="F15" s="20" t="n">
        <v>1</v>
      </c>
      <c r="G15" s="29" t="n">
        <v>275</v>
      </c>
      <c r="H15" s="30" t="n">
        <f aca="false">F15*G15</f>
        <v>275</v>
      </c>
      <c r="I15" s="19" t="s">
        <v>50</v>
      </c>
      <c r="J15" s="14" t="s">
        <v>23</v>
      </c>
    </row>
    <row r="16" customFormat="false" ht="27.75" hidden="false" customHeight="true" outlineLevel="0" collapsed="false">
      <c r="A16" s="15" t="s">
        <v>18</v>
      </c>
      <c r="B16" s="15" t="s">
        <v>53</v>
      </c>
      <c r="C16" s="15" t="s">
        <v>54</v>
      </c>
      <c r="D16" s="15" t="s">
        <v>55</v>
      </c>
      <c r="E16" s="6" t="str">
        <f aca="false">HYPERLINK("https://www.amazon.com/s?k=Subaru+SOA427V1700+SOA868V9241+gear+oil+CVT", "View Part")</f>
        <v>View Part</v>
      </c>
      <c r="F16" s="16" t="n">
        <v>1</v>
      </c>
      <c r="G16" s="27" t="n">
        <v>165</v>
      </c>
      <c r="H16" s="28" t="n">
        <f aca="false">F16*G16</f>
        <v>165</v>
      </c>
      <c r="I16" s="15" t="s">
        <v>56</v>
      </c>
      <c r="J16" s="13" t="s">
        <v>23</v>
      </c>
    </row>
    <row r="17" customFormat="false" ht="27.75" hidden="false" customHeight="true" outlineLevel="0" collapsed="false">
      <c r="A17" s="19" t="s">
        <v>57</v>
      </c>
      <c r="B17" s="19" t="s">
        <v>58</v>
      </c>
      <c r="C17" s="19" t="s">
        <v>54</v>
      </c>
      <c r="D17" s="19" t="s">
        <v>59</v>
      </c>
      <c r="E17" s="11" t="str">
        <f aca="false">HYPERLINK("https://subaru.oempartsonline.com/v-2020-subaru-outback/seals-weatherstrip", "View Part")</f>
        <v>View Part</v>
      </c>
      <c r="F17" s="20" t="n">
        <v>1</v>
      </c>
      <c r="G17" s="29" t="n">
        <v>0</v>
      </c>
      <c r="H17" s="30" t="n">
        <f aca="false">F17*G17</f>
        <v>0</v>
      </c>
      <c r="I17" s="19" t="s">
        <v>60</v>
      </c>
      <c r="J17" s="14" t="s">
        <v>23</v>
      </c>
    </row>
    <row r="18" customFormat="false" ht="27.75" hidden="false" customHeight="true" outlineLevel="0" collapsed="false">
      <c r="A18" s="15" t="s">
        <v>61</v>
      </c>
      <c r="B18" s="15" t="s">
        <v>62</v>
      </c>
      <c r="C18" s="15" t="s">
        <v>63</v>
      </c>
      <c r="D18" s="15" t="s">
        <v>64</v>
      </c>
      <c r="E18" s="6" t="str">
        <f aca="false">HYPERLINK("https://www.sdwheel.com/brands/wheels/Enkei/TS10", "View Part")</f>
        <v>View Part</v>
      </c>
      <c r="F18" s="16" t="n">
        <v>4</v>
      </c>
      <c r="G18" s="27" t="n">
        <v>210</v>
      </c>
      <c r="H18" s="28" t="n">
        <f aca="false">F18*G18</f>
        <v>840</v>
      </c>
      <c r="I18" s="15" t="s">
        <v>65</v>
      </c>
      <c r="J18" s="13" t="s">
        <v>23</v>
      </c>
    </row>
    <row r="19" customFormat="false" ht="15" hidden="false" customHeight="true" outlineLevel="0" collapsed="false">
      <c r="A19" s="31"/>
      <c r="B19" s="31"/>
      <c r="C19" s="31"/>
      <c r="D19" s="31"/>
      <c r="E19" s="31"/>
      <c r="F19" s="31"/>
      <c r="G19" s="32" t="s">
        <v>66</v>
      </c>
      <c r="H19" s="33" t="n">
        <f aca="false">SUM(H2:H18)</f>
        <v>2991.1</v>
      </c>
      <c r="I19" s="31"/>
      <c r="J19" s="3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2026-05-23T01:32:25Z</dcterms:created>
  <dc:creator>openpyxl</dc:creator>
  <dc:description/>
  <dc:language>en-US</dc:language>
  <cp:lastModifiedBy/>
  <dcterms:modified xsi:type="dcterms:W3CDTF">2026-06-26T16:20:19Z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