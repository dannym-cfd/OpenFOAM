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back XT Build Parts" sheetId="1" r:id="rId4"/>
  </sheets>
  <definedNames/>
  <calcPr/>
  <extLst>
    <ext uri="GoogleSheetsCustomDataVersion2">
      <go:sheetsCustomData xmlns:go="http://customooxmlschemas.google.com/" r:id="rId5" roundtripDataChecksum="XK6c50xipQKy+razEFnPk+yI4/LJqGjASjxxg8YontQ="/>
    </ext>
  </extLst>
</workbook>
</file>

<file path=xl/sharedStrings.xml><?xml version="1.0" encoding="utf-8"?>
<sst xmlns="http://schemas.openxmlformats.org/spreadsheetml/2006/main" count="65" uniqueCount="44">
  <si>
    <t>Category</t>
  </si>
  <si>
    <t>Part Description</t>
  </si>
  <si>
    <t>Brand</t>
  </si>
  <si>
    <t>Part Number</t>
  </si>
  <si>
    <t>Purchase Link</t>
  </si>
  <si>
    <t>Qty</t>
  </si>
  <si>
    <t>Unit Price</t>
  </si>
  <si>
    <t>Total Price</t>
  </si>
  <si>
    <t>Priority / Install Phase</t>
  </si>
  <si>
    <t>Brakes</t>
  </si>
  <si>
    <t>Stage 12 Smooth Rotors &amp; Red Ceramic Brake Kit (Front)</t>
  </si>
  <si>
    <t>EBC Brakes</t>
  </si>
  <si>
    <t>S12KF1974</t>
  </si>
  <si>
    <t>Phase 1: Brakes</t>
  </si>
  <si>
    <t>Stage 12 Smooth Rotors &amp; Red Ceramic Brake Kit (Rear)</t>
  </si>
  <si>
    <t>S12KR1555</t>
  </si>
  <si>
    <t>Maintenance</t>
  </si>
  <si>
    <t>Premium Full Synthetic 5W-30 Oil (5-Quart Jug)</t>
  </si>
  <si>
    <t>Motul / Pennzoil</t>
  </si>
  <si>
    <t>8100 X-Clean / Ultra Plat</t>
  </si>
  <si>
    <t>Phase 1: Maintenance (High Temp Fix)</t>
  </si>
  <si>
    <t>OEM Subaru Oil Filter</t>
  </si>
  <si>
    <t>Subaru</t>
  </si>
  <si>
    <t>15208AA170</t>
  </si>
  <si>
    <t>Suspension</t>
  </si>
  <si>
    <t>Adjustable Rear Lower Control Arms (Camber)</t>
  </si>
  <si>
    <t>SPC Performance</t>
  </si>
  <si>
    <t>67660</t>
  </si>
  <si>
    <t>Phase 2: Geometry (Mandatory)</t>
  </si>
  <si>
    <t>Adjustable Rear Toe Arms</t>
  </si>
  <si>
    <t>Whiteline</t>
  </si>
  <si>
    <t>KTA147B</t>
  </si>
  <si>
    <t>Front Adjustable Sway Bar End Links</t>
  </si>
  <si>
    <t>KLC175</t>
  </si>
  <si>
    <t>Rear Adjustable Sway Bar End Links</t>
  </si>
  <si>
    <t>KLC200</t>
  </si>
  <si>
    <t>Front Roll Center / Bump Steer Kit</t>
  </si>
  <si>
    <t>KCA313</t>
  </si>
  <si>
    <t>20mm Adjustable Rear Sway Bar</t>
  </si>
  <si>
    <t>BSR55Z</t>
  </si>
  <si>
    <t>Phase 2: Sport Upgrades</t>
  </si>
  <si>
    <t>Rear Subframe Positive Traction Kit (Inserts)</t>
  </si>
  <si>
    <t>KDT938</t>
  </si>
  <si>
    <t>GRAND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</si>
</sst>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sz val="11.0"/>
      <color theme="1"/>
      <name val="Calibri"/>
    </font>
    <font>
      <u/>
      <color rgb="FF0563C1"/>
    </font>
    <font>
      <u/>
      <color rgb="FF0563C1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  <fill>
      <patternFill patternType="solid">
        <fgColor rgb="FFD5E8D4"/>
        <bgColor rgb="FFD5E8D4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readingOrder="0" vertical="center"/>
    </xf>
    <xf borderId="1" fillId="3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164" xfId="0" applyAlignment="1" applyBorder="1" applyFont="1" applyNumberFormat="1">
      <alignment vertical="center"/>
    </xf>
    <xf borderId="0" fillId="0" fontId="5" numFmtId="0" xfId="0" applyAlignment="1" applyFont="1">
      <alignment horizontal="right"/>
    </xf>
    <xf borderId="1" fillId="4" fontId="5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45.0"/>
    <col customWidth="1" min="3" max="3" width="20.0"/>
    <col customWidth="1" min="4" max="5" width="15.0"/>
    <col customWidth="1" min="6" max="6" width="8.0"/>
    <col customWidth="1" min="7" max="8" width="15.0"/>
    <col customWidth="1" min="9" max="9" width="35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2" t="s">
        <v>12</v>
      </c>
      <c r="E2" s="4" t="str">
        <f>HYPERLINK("https://www.summitracing.com/search?keyword=EBC+S12KF1974", "View Part")</f>
        <v>View Part</v>
      </c>
      <c r="F2" s="2">
        <v>1.0</v>
      </c>
      <c r="G2" s="5">
        <v>0.0</v>
      </c>
      <c r="H2" s="6">
        <f t="shared" ref="H2:H12" si="1">F2*G2</f>
        <v>0</v>
      </c>
      <c r="I2" s="2" t="s">
        <v>13</v>
      </c>
    </row>
    <row r="3">
      <c r="A3" s="7" t="s">
        <v>9</v>
      </c>
      <c r="B3" s="8" t="s">
        <v>14</v>
      </c>
      <c r="C3" s="7" t="s">
        <v>11</v>
      </c>
      <c r="D3" s="7" t="s">
        <v>15</v>
      </c>
      <c r="E3" s="9" t="str">
        <f>HYPERLINK("https://www.summitracing.com/search?keyword=EBC+S12KR1555", "View Part")</f>
        <v>View Part</v>
      </c>
      <c r="F3" s="7">
        <v>1.0</v>
      </c>
      <c r="G3" s="10">
        <v>0.0</v>
      </c>
      <c r="H3" s="11">
        <f t="shared" si="1"/>
        <v>0</v>
      </c>
      <c r="I3" s="7" t="s">
        <v>13</v>
      </c>
    </row>
    <row r="4">
      <c r="A4" s="2" t="s">
        <v>16</v>
      </c>
      <c r="B4" s="3" t="s">
        <v>17</v>
      </c>
      <c r="C4" s="2" t="s">
        <v>18</v>
      </c>
      <c r="D4" s="2" t="s">
        <v>19</v>
      </c>
      <c r="E4" s="4" t="str">
        <f>HYPERLINK("https://www.summitracing.com", "View Part")</f>
        <v>View Part</v>
      </c>
      <c r="F4" s="2">
        <v>1.0</v>
      </c>
      <c r="G4" s="6">
        <v>45.0</v>
      </c>
      <c r="H4" s="6">
        <f t="shared" si="1"/>
        <v>45</v>
      </c>
      <c r="I4" s="2" t="s">
        <v>20</v>
      </c>
    </row>
    <row r="5">
      <c r="A5" s="7" t="s">
        <v>16</v>
      </c>
      <c r="B5" s="8" t="s">
        <v>21</v>
      </c>
      <c r="C5" s="7" t="s">
        <v>22</v>
      </c>
      <c r="D5" s="7" t="s">
        <v>23</v>
      </c>
      <c r="E5" s="9" t="str">
        <f>HYPERLINK("https://www.parts.subaru.com", "View Part")</f>
        <v>View Part</v>
      </c>
      <c r="F5" s="7">
        <v>1.0</v>
      </c>
      <c r="G5" s="11">
        <v>12.0</v>
      </c>
      <c r="H5" s="11">
        <f t="shared" si="1"/>
        <v>12</v>
      </c>
      <c r="I5" s="7" t="s">
        <v>20</v>
      </c>
    </row>
    <row r="6">
      <c r="A6" s="2" t="s">
        <v>24</v>
      </c>
      <c r="B6" s="3" t="s">
        <v>25</v>
      </c>
      <c r="C6" s="2" t="s">
        <v>26</v>
      </c>
      <c r="D6" s="2" t="s">
        <v>27</v>
      </c>
      <c r="E6" s="4" t="str">
        <f>HYPERLINK("https://www.summitracing.com/parts/sps-67660", "View Part")</f>
        <v>View Part</v>
      </c>
      <c r="F6" s="2">
        <v>2.0</v>
      </c>
      <c r="G6" s="6">
        <v>280.0</v>
      </c>
      <c r="H6" s="6">
        <f t="shared" si="1"/>
        <v>560</v>
      </c>
      <c r="I6" s="2" t="s">
        <v>28</v>
      </c>
    </row>
    <row r="7">
      <c r="A7" s="7" t="s">
        <v>24</v>
      </c>
      <c r="B7" s="8" t="s">
        <v>29</v>
      </c>
      <c r="C7" s="7" t="s">
        <v>30</v>
      </c>
      <c r="D7" s="7" t="s">
        <v>31</v>
      </c>
      <c r="E7" s="9" t="str">
        <f>HYPERLINK("https://whitelineperformance.com/products/kta147b", "View Part")</f>
        <v>View Part</v>
      </c>
      <c r="F7" s="7">
        <v>1.0</v>
      </c>
      <c r="G7" s="11">
        <v>225.0</v>
      </c>
      <c r="H7" s="11">
        <f t="shared" si="1"/>
        <v>225</v>
      </c>
      <c r="I7" s="7" t="s">
        <v>28</v>
      </c>
    </row>
    <row r="8">
      <c r="A8" s="2" t="s">
        <v>24</v>
      </c>
      <c r="B8" s="3" t="s">
        <v>32</v>
      </c>
      <c r="C8" s="2" t="s">
        <v>30</v>
      </c>
      <c r="D8" s="2" t="s">
        <v>33</v>
      </c>
      <c r="E8" s="4" t="str">
        <f>HYPERLINK("https://whitelineperformance.com/products/klc175", "View Part")</f>
        <v>View Part</v>
      </c>
      <c r="F8" s="2">
        <v>1.0</v>
      </c>
      <c r="G8" s="6">
        <v>180.0</v>
      </c>
      <c r="H8" s="6">
        <f t="shared" si="1"/>
        <v>180</v>
      </c>
      <c r="I8" s="2" t="s">
        <v>28</v>
      </c>
    </row>
    <row r="9">
      <c r="A9" s="7" t="s">
        <v>24</v>
      </c>
      <c r="B9" s="8" t="s">
        <v>34</v>
      </c>
      <c r="C9" s="7" t="s">
        <v>30</v>
      </c>
      <c r="D9" s="7" t="s">
        <v>35</v>
      </c>
      <c r="E9" s="9" t="str">
        <f>HYPERLINK("https://whitelineperformance.com/products/klc200", "View Part")</f>
        <v>View Part</v>
      </c>
      <c r="F9" s="7">
        <v>1.0</v>
      </c>
      <c r="G9" s="11">
        <v>180.0</v>
      </c>
      <c r="H9" s="11">
        <f t="shared" si="1"/>
        <v>180</v>
      </c>
      <c r="I9" s="7" t="s">
        <v>28</v>
      </c>
    </row>
    <row r="10">
      <c r="A10" s="2" t="s">
        <v>24</v>
      </c>
      <c r="B10" s="3" t="s">
        <v>36</v>
      </c>
      <c r="C10" s="2" t="s">
        <v>30</v>
      </c>
      <c r="D10" s="2" t="s">
        <v>37</v>
      </c>
      <c r="E10" s="4" t="str">
        <f>HYPERLINK("https://whitelineperformance.com/products/kca313", "View Part")</f>
        <v>View Part</v>
      </c>
      <c r="F10" s="2">
        <v>1.0</v>
      </c>
      <c r="G10" s="6">
        <v>135.0</v>
      </c>
      <c r="H10" s="6">
        <f t="shared" si="1"/>
        <v>135</v>
      </c>
      <c r="I10" s="2" t="s">
        <v>28</v>
      </c>
    </row>
    <row r="11">
      <c r="A11" s="7" t="s">
        <v>24</v>
      </c>
      <c r="B11" s="8" t="s">
        <v>38</v>
      </c>
      <c r="C11" s="7" t="s">
        <v>30</v>
      </c>
      <c r="D11" s="7" t="s">
        <v>39</v>
      </c>
      <c r="E11" s="9" t="str">
        <f>HYPERLINK("https://whitelineperformance.com/products/bsr55z", "View Part")</f>
        <v>View Part</v>
      </c>
      <c r="F11" s="7">
        <v>1.0</v>
      </c>
      <c r="G11" s="11">
        <v>280.0</v>
      </c>
      <c r="H11" s="11">
        <f t="shared" si="1"/>
        <v>280</v>
      </c>
      <c r="I11" s="7" t="s">
        <v>40</v>
      </c>
    </row>
    <row r="12">
      <c r="A12" s="2" t="s">
        <v>24</v>
      </c>
      <c r="B12" s="3" t="s">
        <v>41</v>
      </c>
      <c r="C12" s="2" t="s">
        <v>30</v>
      </c>
      <c r="D12" s="2" t="s">
        <v>42</v>
      </c>
      <c r="E12" s="4" t="str">
        <f>HYPERLINK("https://whitelineperformance.com/products/kdt938", "View Part")</f>
        <v>View Part</v>
      </c>
      <c r="F12" s="2">
        <v>1.0</v>
      </c>
      <c r="G12" s="6">
        <v>60.0</v>
      </c>
      <c r="H12" s="6">
        <f t="shared" si="1"/>
        <v>60</v>
      </c>
      <c r="I12" s="2" t="s">
        <v>40</v>
      </c>
    </row>
    <row r="14">
      <c r="G14" s="12" t="s">
        <v>43</v>
      </c>
      <c r="H14" s="13">
        <f>SUM(H2:H12)</f>
        <v>1677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2026-05-23T01:32:25Z</dcterms:created>
  <dc:creator>openpyxl</dc:creator>
</cp:coreProperties>
</file>